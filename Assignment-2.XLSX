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4\Desktop\assignment\"/>
    </mc:Choice>
  </mc:AlternateContent>
  <xr:revisionPtr revIDLastSave="0" documentId="13_ncr:1_{72E25DD9-1CD1-4276-B30C-03D9EFC53CBA}" xr6:coauthVersionLast="47" xr6:coauthVersionMax="47" xr10:uidLastSave="{00000000-0000-0000-0000-000000000000}"/>
  <bookViews>
    <workbookView xWindow="-108" yWindow="-108" windowWidth="23256" windowHeight="12576" xr2:uid="{E948E46A-B42D-40F5-893F-67A707190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<sst xmlns="http://schemas.openxmlformats.org/spreadsheetml/2006/main" count="165" uniqueCount="109">
  <si>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</si>
  <si>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</si>
  <si>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</si>
  <si>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</si>
  <si>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</si>
  <si>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</si>
  <si>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</si>
  <si>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</si>
  <si>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</si>
  <si>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</si>
  <si>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</si>
  <si>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</si>
  <si>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</si>
  <si>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</si>
  <si>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</si>
  <si>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</si>
  <si>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</si>
  <si>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</si>
  <si>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</si>
  <si>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</si>
  <si>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</si>
  <si>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</si>
  <si>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</si>
  <si>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</si>
  <si>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</si>
  <si>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</si>
  <si>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</si>
  <si>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</si>
  <si>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</si>
  <si>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</si>
  <si>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</si>
  <si>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</si>
  <si>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</si>
  <si>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</si>
  <si>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</si>
  <si>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</si>
  <si>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</si>
  <si>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</si>
  <si>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</si>
  <si>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</si>
  <si>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</si>
  <si>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</si>
  <si>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</si>
  <si>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</si>
  <si>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</si>
  <si>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</si>
  <si>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</si>
  <si>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</si>
  <si>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</si>
  <si>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</si>
  <si>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</si>
  <si>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</si>
  <si>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</si>
  <si>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</si>
  <si>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</si>
  <si>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</si>
  <si>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</si>
  <si>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</si>
  <si>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</si>
  <si>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</si>
  <si>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</si>
  <si>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</si>
  <si>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</si>
  <si>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</si>
  <si>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</si>
  <si>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</si>
  <si>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</si>
  <si>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</si>
  <si>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</si>
  <si>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</si>
  <si>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</si>
  <si>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</si>
  <si>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</si>
  <si>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</si>
  <si>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</si>
  <si>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</si>
  <si>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</si>
  <si>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</si>
  <si>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</si>
  <si>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</si>
  <si>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</si>
  <si>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</si>
  <si>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</si>
  <si>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</si>
  <si>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</si>
  <si>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</si>
  <si>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</si>
  <si>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</si>
  <si>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</si>
  <si>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</si>
  <si>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</si>
  <si>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</si>
  <si>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</si>
  <si>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</si>
  <si>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</si>
  <si>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</si>
  <si>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</si>
  <si>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</si>
  <si>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</si>
  <si>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</si>
  <si>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</si>
  <si>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</si>
  <si>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</si>
  <si>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</si>
  <si>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</si>
  <si>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counry code</t>
  </si>
  <si>
    <t>Product Brand</t>
  </si>
  <si>
    <t>median value of price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</si>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</sst>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2" tint="-0.89999084444715716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/>
    <xf numFmtId="164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4" fontId="2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164" fontId="0" fillId="0" borderId="0" xfId="0" applyNumberFormat="1" applyAlignment="1">
      <alignment horizontal="left"/>
    </xf>
    <xf numFmtId="14" fontId="4" fillId="0" borderId="0" xfId="1" applyNumberFormat="1" applyFont="1" applyAlignment="1">
      <alignment horizontal="left"/>
    </xf>
  </cellXfs>
  <cellStyles count="2">
    <cellStyle name="Normal" xfId="0" builtinId="0"/>
    <cellStyle name="Normal 2" xfId="1" xr:uid="{FB32F3ED-92A0-4ACB-8214-8407FB712906}"/>
  </cellStyles>
  <dxfs count="33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numFmt numFmtId="0" formatCode="General"/>
      <fill>
        <patternFill>
          <bgColor theme="5" tint="-0.24994659260841701"/>
        </patternFill>
      </fill>
    </dxf>
    <dxf>
      <numFmt numFmtId="0" formatCode="General"/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£&quot;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A732DF-DB1F-4DD7-90E9-51B810C79A7C}" name="Table3" displayName="Table3" ref="A1:I32" totalsRowShown="0" headerRowDxfId="32" dataDxfId="31">
  <autoFilter ref="A1:I32" xr:uid="{C6A732DF-DB1F-4DD7-90E9-51B810C79A7C}"/>
  <tableColumns count="9">
    <tableColumn id="1" xr3:uid="{32526939-FD29-40BF-BE4E-C28ECC1F3A7B}" name="Product ID" dataDxfId="30"/>
    <tableColumn id="2" xr3:uid="{95CD6DDD-3DBF-4417-9894-F2EF07C1FAC6}" name="Manufacturing Date" dataDxfId="29" dataCellStyle="Normal 2"/>
    <tableColumn id="3" xr3:uid="{D4974DDE-E2AD-434C-97BF-3BD74D83589C}" name="counry code" dataDxfId="28" dataCellStyle="Normal 2"/>
    <tableColumn id="4" xr3:uid="{065F60D7-199D-4A14-AB5E-7547BF33F15B}" name="Product Name" dataDxfId="27"/>
    <tableColumn id="5" xr3:uid="{D81C9513-D586-4CD3-BE0F-C09FE7BF8AAD}" name="Brand Name" dataDxfId="26"/>
    <tableColumn id="6" xr3:uid="{31861905-820D-48F4-93B8-74551C2EEDAD}" name="Product Brand" dataDxfId="25">
      <calculatedColumnFormula>D2&amp;"-"&amp;E2</calculatedColumnFormula>
    </tableColumn>
    <tableColumn id="7" xr3:uid="{514A8BF3-B29F-4825-8A83-193DED6AAF9C}" name="Price ($)" dataDxfId="24"/>
    <tableColumn id="8" xr3:uid="{4B1CE60D-2FD8-437C-BD32-2D0B977EC135}" name="Quantity" dataDxfId="23"/>
    <tableColumn id="9" xr3:uid="{471FDE0C-4C5D-46E8-A75A-DD3528FDFE77}" name="Category" dataDxfId="2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96FE-9FD3-4771-89DD-5E71B6F8929C}">
  <dimension ref="A1:M35"/>
  <sheetViews>
    <sheetView tabSelected="1" zoomScale="88" zoomScaleNormal="88" workbookViewId="0">
      <selection activeCell="N5" sqref="N5"/>
    </sheetView>
  </sheetViews>
  <sheetFormatPr defaultRowHeight="14.4" x14ac:dyDescent="0.3"/>
  <cols>
    <col min="1" max="1" width="15.109375" customWidth="1"/>
    <col min="2" max="2" width="21.109375" style="3" bestFit="1" customWidth="1"/>
    <col min="3" max="3" width="13.109375" customWidth="1"/>
    <col min="4" max="4" width="14.44140625" customWidth="1"/>
    <col min="5" max="5" width="13.33203125" customWidth="1"/>
    <col min="6" max="6" width="21.5546875" bestFit="1" customWidth="1"/>
    <col min="7" max="7" width="11" style="2" customWidth="1"/>
    <col min="8" max="8" width="10.77734375" customWidth="1"/>
    <col min="9" max="9" width="13.5546875" customWidth="1"/>
    <col min="11" max="11" width="8.88671875" customWidth="1"/>
    <col min="12" max="12" width="23.44140625" customWidth="1"/>
  </cols>
  <sheetData>
    <row r="1" spans="1:13" x14ac:dyDescent="0.3">
      <c r="A1" s="4" t="s">
        <v>0</v>
      </c>
      <c r="B1" s="5" t="s">
        <v>108</v>
      </c>
      <c r="C1" s="5" t="s">
        <v>105</v>
      </c>
      <c r="D1" s="5" t="s">
        <v>1</v>
      </c>
      <c r="E1" s="5" t="s">
        <v>2</v>
      </c>
      <c r="F1" s="5" t="s">
        <v>106</v>
      </c>
      <c r="G1" s="6" t="s">
        <v>3</v>
      </c>
      <c r="H1" s="5" t="s">
        <v>4</v>
      </c>
      <c r="I1" s="5" t="s">
        <v>5</v>
      </c>
    </row>
    <row r="2" spans="1:13" x14ac:dyDescent="0.3">
      <c r="A2" s="7" t="s">
        <v>6</v>
      </c>
      <c r="B2" s="8">
        <v>46050</v>
      </c>
      <c r="C2" s="9" t="s">
        <v>93</v>
      </c>
      <c r="D2" s="7" t="s">
        <v>39</v>
      </c>
      <c r="E2" s="7" t="s">
        <v>7</v>
      </c>
      <c r="F2" s="7" t="str">
        <f>D2&amp;"-"&amp;E2</f>
        <v>Laptop-Dell</v>
      </c>
      <c r="G2" s="10">
        <v>1000</v>
      </c>
      <c r="H2" s="7">
        <v>30</v>
      </c>
      <c r="I2" s="7" t="s">
        <v>8</v>
      </c>
    </row>
    <row r="3" spans="1:13" x14ac:dyDescent="0.3">
      <c r="A3" s="7" t="s">
        <v>9</v>
      </c>
      <c r="B3" s="8">
        <v>46068</v>
      </c>
      <c r="C3" s="9" t="s">
        <v>93</v>
      </c>
      <c r="D3" s="7" t="s">
        <v>10</v>
      </c>
      <c r="E3" s="7" t="s">
        <v>11</v>
      </c>
      <c r="F3" s="7" t="str">
        <f t="shared" ref="F3:F32" si="0">D3&amp;"-"&amp;E3</f>
        <v>Sneakers-Nike</v>
      </c>
      <c r="G3" s="10">
        <v>80</v>
      </c>
      <c r="H3" s="7">
        <v>15</v>
      </c>
      <c r="I3" s="7" t="s">
        <v>12</v>
      </c>
    </row>
    <row r="4" spans="1:13" x14ac:dyDescent="0.3">
      <c r="A4" s="7" t="s">
        <v>13</v>
      </c>
      <c r="B4" s="8">
        <v>46084</v>
      </c>
      <c r="C4" s="9" t="s">
        <v>93</v>
      </c>
      <c r="D4" s="7" t="s">
        <v>14</v>
      </c>
      <c r="E4" s="7" t="s">
        <v>15</v>
      </c>
      <c r="F4" s="7" t="str">
        <f t="shared" si="0"/>
        <v>Coffee Maker-Keurig</v>
      </c>
      <c r="G4" s="10">
        <v>130</v>
      </c>
      <c r="H4" s="7">
        <v>40</v>
      </c>
      <c r="I4" s="7" t="s">
        <v>16</v>
      </c>
    </row>
    <row r="5" spans="1:13" x14ac:dyDescent="0.3">
      <c r="A5" s="7" t="s">
        <v>17</v>
      </c>
      <c r="B5" s="8">
        <v>46123</v>
      </c>
      <c r="C5" s="9" t="s">
        <v>93</v>
      </c>
      <c r="D5" s="7" t="s">
        <v>73</v>
      </c>
      <c r="E5" s="7" t="s">
        <v>18</v>
      </c>
      <c r="F5" s="7" t="str">
        <f t="shared" si="0"/>
        <v>Smartphone-Samsung</v>
      </c>
      <c r="G5" s="10">
        <v>900</v>
      </c>
      <c r="H5" s="7">
        <v>25</v>
      </c>
      <c r="I5" s="7" t="s">
        <v>8</v>
      </c>
    </row>
    <row r="6" spans="1:13" x14ac:dyDescent="0.3">
      <c r="A6" s="7" t="s">
        <v>19</v>
      </c>
      <c r="B6" s="8">
        <v>46164</v>
      </c>
      <c r="C6" s="9" t="s">
        <v>93</v>
      </c>
      <c r="D6" s="7" t="s">
        <v>20</v>
      </c>
      <c r="E6" s="7" t="s">
        <v>21</v>
      </c>
      <c r="F6" s="7" t="str">
        <f t="shared" si="0"/>
        <v>Backpack-North Face</v>
      </c>
      <c r="G6" s="10">
        <v>70</v>
      </c>
      <c r="H6" s="7">
        <v>20</v>
      </c>
      <c r="I6" s="7" t="s">
        <v>52</v>
      </c>
    </row>
    <row r="7" spans="1:13" x14ac:dyDescent="0.3">
      <c r="A7" s="7" t="s">
        <v>22</v>
      </c>
      <c r="B7" s="8">
        <v>46180</v>
      </c>
      <c r="C7" s="9" t="s">
        <v>94</v>
      </c>
      <c r="D7" s="7" t="s">
        <v>23</v>
      </c>
      <c r="E7" s="7" t="s">
        <v>24</v>
      </c>
      <c r="F7" s="7" t="str">
        <f t="shared" si="0"/>
        <v>Headphones-Sony</v>
      </c>
      <c r="G7" s="10">
        <v>130</v>
      </c>
      <c r="H7" s="7">
        <v>45</v>
      </c>
      <c r="I7" s="7" t="s">
        <v>8</v>
      </c>
    </row>
    <row r="8" spans="1:13" x14ac:dyDescent="0.3">
      <c r="A8" s="7" t="s">
        <v>25</v>
      </c>
      <c r="B8" s="8">
        <v>46222</v>
      </c>
      <c r="C8" s="9" t="s">
        <v>94</v>
      </c>
      <c r="D8" s="7" t="s">
        <v>26</v>
      </c>
      <c r="E8" s="7" t="s">
        <v>27</v>
      </c>
      <c r="F8" s="7" t="str">
        <f t="shared" si="0"/>
        <v>T-shirt-Adidas</v>
      </c>
      <c r="G8" s="10">
        <v>30</v>
      </c>
      <c r="H8" s="7">
        <v>5</v>
      </c>
      <c r="I8" s="7" t="s">
        <v>12</v>
      </c>
    </row>
    <row r="9" spans="1:13" x14ac:dyDescent="0.3">
      <c r="A9" s="7" t="s">
        <v>28</v>
      </c>
      <c r="B9" s="11">
        <v>46257</v>
      </c>
      <c r="C9" s="9" t="s">
        <v>94</v>
      </c>
      <c r="D9" s="7" t="s">
        <v>29</v>
      </c>
      <c r="E9" s="7" t="s">
        <v>30</v>
      </c>
      <c r="F9" s="7" t="str">
        <f t="shared" si="0"/>
        <v>Blender-Ninja</v>
      </c>
      <c r="G9" s="10">
        <v>90</v>
      </c>
      <c r="H9" s="7">
        <v>35</v>
      </c>
      <c r="I9" s="7" t="s">
        <v>16</v>
      </c>
    </row>
    <row r="10" spans="1:13" x14ac:dyDescent="0.3">
      <c r="A10" s="7" t="s">
        <v>31</v>
      </c>
      <c r="B10" s="8">
        <v>46270</v>
      </c>
      <c r="C10" s="9" t="s">
        <v>94</v>
      </c>
      <c r="D10" s="7" t="s">
        <v>32</v>
      </c>
      <c r="E10" s="7" t="s">
        <v>33</v>
      </c>
      <c r="F10" s="7" t="str">
        <f t="shared" si="0"/>
        <v>Tablet-Apple</v>
      </c>
      <c r="G10" s="10">
        <v>500</v>
      </c>
      <c r="H10" s="7">
        <v>50</v>
      </c>
      <c r="I10" s="7" t="s">
        <v>8</v>
      </c>
      <c r="L10" t="s">
        <v>107</v>
      </c>
      <c r="M10" s="2">
        <f>MEDIAN(G2:G32)</f>
        <v>130</v>
      </c>
    </row>
    <row r="11" spans="1:13" x14ac:dyDescent="0.3">
      <c r="A11" s="7" t="s">
        <v>34</v>
      </c>
      <c r="B11" s="8">
        <v>46309</v>
      </c>
      <c r="C11" s="9" t="s">
        <v>94</v>
      </c>
      <c r="D11" s="7" t="s">
        <v>35</v>
      </c>
      <c r="E11" s="7" t="s">
        <v>36</v>
      </c>
      <c r="F11" s="7" t="str">
        <f t="shared" si="0"/>
        <v>Hiking Boots-Timberland</v>
      </c>
      <c r="G11" s="10">
        <v>130</v>
      </c>
      <c r="H11" s="7">
        <v>10</v>
      </c>
      <c r="I11" s="7" t="s">
        <v>37</v>
      </c>
    </row>
    <row r="12" spans="1:13" x14ac:dyDescent="0.3">
      <c r="A12" s="7" t="s">
        <v>38</v>
      </c>
      <c r="B12" s="8">
        <v>46190</v>
      </c>
      <c r="C12" s="9" t="s">
        <v>95</v>
      </c>
      <c r="D12" s="7" t="s">
        <v>39</v>
      </c>
      <c r="E12" s="7" t="s">
        <v>40</v>
      </c>
      <c r="F12" s="7" t="str">
        <f t="shared" si="0"/>
        <v>Laptop-HP</v>
      </c>
      <c r="G12" s="10">
        <v>950</v>
      </c>
      <c r="H12" s="7">
        <v>25</v>
      </c>
      <c r="I12" s="7" t="s">
        <v>8</v>
      </c>
    </row>
    <row r="13" spans="1:13" x14ac:dyDescent="0.3">
      <c r="A13" s="7" t="s">
        <v>41</v>
      </c>
      <c r="B13" s="8">
        <v>46351</v>
      </c>
      <c r="C13" s="9" t="s">
        <v>96</v>
      </c>
      <c r="D13" s="7" t="s">
        <v>10</v>
      </c>
      <c r="E13" s="7" t="s">
        <v>27</v>
      </c>
      <c r="F13" s="7" t="str">
        <f t="shared" si="0"/>
        <v>Sneakers-Adidas</v>
      </c>
      <c r="G13" s="10">
        <v>90</v>
      </c>
      <c r="H13" s="7">
        <v>40</v>
      </c>
      <c r="I13" s="7" t="s">
        <v>12</v>
      </c>
    </row>
    <row r="14" spans="1:13" x14ac:dyDescent="0.3">
      <c r="A14" s="7" t="s">
        <v>42</v>
      </c>
      <c r="B14" s="8">
        <v>46364</v>
      </c>
      <c r="C14" s="9" t="s">
        <v>97</v>
      </c>
      <c r="D14" s="7" t="s">
        <v>14</v>
      </c>
      <c r="E14" s="7" t="s">
        <v>43</v>
      </c>
      <c r="F14" s="7" t="str">
        <f t="shared" si="0"/>
        <v>Coffee Maker-Nespresso</v>
      </c>
      <c r="G14" s="10">
        <v>120</v>
      </c>
      <c r="H14" s="7">
        <v>35</v>
      </c>
      <c r="I14" s="7" t="s">
        <v>16</v>
      </c>
    </row>
    <row r="15" spans="1:13" x14ac:dyDescent="0.3">
      <c r="A15" s="7" t="s">
        <v>44</v>
      </c>
      <c r="B15" s="8">
        <v>46071</v>
      </c>
      <c r="C15" s="9" t="s">
        <v>98</v>
      </c>
      <c r="D15" s="7" t="s">
        <v>45</v>
      </c>
      <c r="E15" s="7" t="s">
        <v>46</v>
      </c>
      <c r="F15" s="7" t="str">
        <f t="shared" si="0"/>
        <v>Smartwatch-Fitbit</v>
      </c>
      <c r="G15" s="10">
        <v>150</v>
      </c>
      <c r="H15" s="7">
        <v>15</v>
      </c>
      <c r="I15" s="7" t="s">
        <v>8</v>
      </c>
    </row>
    <row r="16" spans="1:13" x14ac:dyDescent="0.3">
      <c r="A16" s="7" t="s">
        <v>47</v>
      </c>
      <c r="B16" s="8">
        <v>46128</v>
      </c>
      <c r="C16" s="9" t="s">
        <v>99</v>
      </c>
      <c r="D16" s="7" t="s">
        <v>23</v>
      </c>
      <c r="E16" s="7" t="s">
        <v>48</v>
      </c>
      <c r="F16" s="7" t="str">
        <f t="shared" si="0"/>
        <v>Headphones-Bose</v>
      </c>
      <c r="G16" s="10">
        <v>250</v>
      </c>
      <c r="H16" s="7">
        <v>20</v>
      </c>
      <c r="I16" s="7" t="s">
        <v>8</v>
      </c>
    </row>
    <row r="17" spans="1:9" x14ac:dyDescent="0.3">
      <c r="A17" s="7" t="s">
        <v>49</v>
      </c>
      <c r="B17" s="8">
        <v>46255</v>
      </c>
      <c r="C17" s="9" t="s">
        <v>98</v>
      </c>
      <c r="D17" s="7" t="s">
        <v>50</v>
      </c>
      <c r="E17" s="7" t="s">
        <v>51</v>
      </c>
      <c r="F17" s="7" t="str">
        <f t="shared" si="0"/>
        <v>Laptop Bag-Samsonite</v>
      </c>
      <c r="G17" s="10">
        <v>50</v>
      </c>
      <c r="H17" s="7">
        <v>35</v>
      </c>
      <c r="I17" s="7" t="s">
        <v>52</v>
      </c>
    </row>
    <row r="18" spans="1:9" x14ac:dyDescent="0.3">
      <c r="A18" s="7" t="s">
        <v>53</v>
      </c>
      <c r="B18" s="8">
        <v>46254</v>
      </c>
      <c r="C18" s="9" t="s">
        <v>100</v>
      </c>
      <c r="D18" s="7" t="s">
        <v>45</v>
      </c>
      <c r="E18" s="7" t="s">
        <v>54</v>
      </c>
      <c r="F18" s="7" t="str">
        <f t="shared" si="0"/>
        <v>Smartwatch-Huawei</v>
      </c>
      <c r="G18" s="10">
        <v>160</v>
      </c>
      <c r="H18" s="7">
        <v>15</v>
      </c>
      <c r="I18" s="7" t="s">
        <v>8</v>
      </c>
    </row>
    <row r="19" spans="1:9" x14ac:dyDescent="0.3">
      <c r="A19" s="7" t="s">
        <v>55</v>
      </c>
      <c r="B19" s="8">
        <v>46049</v>
      </c>
      <c r="C19" s="9" t="s">
        <v>101</v>
      </c>
      <c r="D19" s="7" t="s">
        <v>39</v>
      </c>
      <c r="E19" s="7" t="s">
        <v>56</v>
      </c>
      <c r="F19" s="7" t="str">
        <f t="shared" si="0"/>
        <v>Laptop-Asus</v>
      </c>
      <c r="G19" s="10">
        <v>980</v>
      </c>
      <c r="H19" s="7">
        <v>10</v>
      </c>
      <c r="I19" s="7" t="s">
        <v>8</v>
      </c>
    </row>
    <row r="20" spans="1:9" x14ac:dyDescent="0.3">
      <c r="A20" s="7" t="s">
        <v>57</v>
      </c>
      <c r="B20" s="8">
        <v>46082</v>
      </c>
      <c r="C20" s="9" t="s">
        <v>94</v>
      </c>
      <c r="D20" s="7" t="s">
        <v>58</v>
      </c>
      <c r="E20" s="7" t="s">
        <v>59</v>
      </c>
      <c r="F20" s="7" t="str">
        <f t="shared" si="0"/>
        <v>Sunglasses-Oakley</v>
      </c>
      <c r="G20" s="10">
        <v>150</v>
      </c>
      <c r="H20" s="7">
        <v>15</v>
      </c>
      <c r="I20" s="7" t="s">
        <v>12</v>
      </c>
    </row>
    <row r="21" spans="1:9" x14ac:dyDescent="0.3">
      <c r="A21" s="7" t="s">
        <v>60</v>
      </c>
      <c r="B21" s="8">
        <v>46248</v>
      </c>
      <c r="C21" s="9" t="s">
        <v>93</v>
      </c>
      <c r="D21" s="7" t="s">
        <v>61</v>
      </c>
      <c r="E21" s="7" t="s">
        <v>62</v>
      </c>
      <c r="F21" s="7" t="str">
        <f t="shared" si="0"/>
        <v>Camping Tent-Coleman</v>
      </c>
      <c r="G21" s="10">
        <v>130</v>
      </c>
      <c r="H21" s="7">
        <v>10</v>
      </c>
      <c r="I21" s="7" t="s">
        <v>37</v>
      </c>
    </row>
    <row r="22" spans="1:9" x14ac:dyDescent="0.3">
      <c r="A22" s="7" t="s">
        <v>63</v>
      </c>
      <c r="B22" s="8">
        <v>46095</v>
      </c>
      <c r="C22" s="9" t="s">
        <v>102</v>
      </c>
      <c r="D22" s="7" t="s">
        <v>64</v>
      </c>
      <c r="E22" s="7" t="s">
        <v>65</v>
      </c>
      <c r="F22" s="7" t="str">
        <f t="shared" si="0"/>
        <v>Camera-Nikon</v>
      </c>
      <c r="G22" s="10">
        <v>700</v>
      </c>
      <c r="H22" s="7">
        <v>50</v>
      </c>
      <c r="I22" s="7" t="s">
        <v>8</v>
      </c>
    </row>
    <row r="23" spans="1:9" x14ac:dyDescent="0.3">
      <c r="A23" s="7" t="s">
        <v>66</v>
      </c>
      <c r="B23" s="8">
        <v>46031</v>
      </c>
      <c r="C23" s="9" t="s">
        <v>98</v>
      </c>
      <c r="D23" s="7" t="s">
        <v>67</v>
      </c>
      <c r="E23" s="7" t="s">
        <v>68</v>
      </c>
      <c r="F23" s="7" t="str">
        <f t="shared" si="0"/>
        <v>Microwave-Panasonic</v>
      </c>
      <c r="G23" s="10">
        <v>80</v>
      </c>
      <c r="H23" s="7">
        <v>20</v>
      </c>
      <c r="I23" s="7" t="s">
        <v>16</v>
      </c>
    </row>
    <row r="24" spans="1:9" x14ac:dyDescent="0.3">
      <c r="A24" s="7" t="s">
        <v>69</v>
      </c>
      <c r="B24" s="8">
        <v>46222</v>
      </c>
      <c r="C24" s="9" t="s">
        <v>103</v>
      </c>
      <c r="D24" s="7" t="s">
        <v>70</v>
      </c>
      <c r="E24" s="7" t="s">
        <v>71</v>
      </c>
      <c r="F24" s="7" t="str">
        <f t="shared" si="0"/>
        <v>Fitness Tracker-Xiaomi</v>
      </c>
      <c r="G24" s="10">
        <v>150</v>
      </c>
      <c r="H24" s="7">
        <v>30</v>
      </c>
      <c r="I24" s="7" t="s">
        <v>8</v>
      </c>
    </row>
    <row r="25" spans="1:9" x14ac:dyDescent="0.3">
      <c r="A25" s="7" t="s">
        <v>72</v>
      </c>
      <c r="B25" s="8">
        <v>46294</v>
      </c>
      <c r="C25" s="9" t="s">
        <v>98</v>
      </c>
      <c r="D25" s="7" t="s">
        <v>73</v>
      </c>
      <c r="E25" s="7" t="s">
        <v>74</v>
      </c>
      <c r="F25" s="7" t="str">
        <f t="shared" si="0"/>
        <v>Smartphone-Google</v>
      </c>
      <c r="G25" s="10">
        <v>800</v>
      </c>
      <c r="H25" s="7">
        <v>45</v>
      </c>
      <c r="I25" s="7" t="s">
        <v>8</v>
      </c>
    </row>
    <row r="26" spans="1:9" x14ac:dyDescent="0.3">
      <c r="A26" s="7" t="s">
        <v>75</v>
      </c>
      <c r="B26" s="8">
        <v>46176</v>
      </c>
      <c r="C26" s="9" t="s">
        <v>98</v>
      </c>
      <c r="D26" s="7" t="s">
        <v>58</v>
      </c>
      <c r="E26" s="7" t="s">
        <v>76</v>
      </c>
      <c r="F26" s="7" t="str">
        <f t="shared" si="0"/>
        <v>Sunglasses-Ray-Ban</v>
      </c>
      <c r="G26" s="10">
        <v>130</v>
      </c>
      <c r="H26" s="7">
        <v>25</v>
      </c>
      <c r="I26" s="7" t="s">
        <v>12</v>
      </c>
    </row>
    <row r="27" spans="1:9" x14ac:dyDescent="0.3">
      <c r="A27" s="7" t="s">
        <v>77</v>
      </c>
      <c r="B27" s="8">
        <v>46214</v>
      </c>
      <c r="C27" s="9" t="s">
        <v>98</v>
      </c>
      <c r="D27" s="7" t="s">
        <v>29</v>
      </c>
      <c r="E27" s="7" t="s">
        <v>78</v>
      </c>
      <c r="F27" s="7" t="str">
        <f t="shared" si="0"/>
        <v>Blender-Vitamix</v>
      </c>
      <c r="G27" s="10">
        <v>400</v>
      </c>
      <c r="H27" s="7">
        <v>40</v>
      </c>
      <c r="I27" s="7" t="s">
        <v>16</v>
      </c>
    </row>
    <row r="28" spans="1:9" x14ac:dyDescent="0.3">
      <c r="A28" s="7" t="s">
        <v>79</v>
      </c>
      <c r="B28" s="8">
        <v>46088</v>
      </c>
      <c r="C28" s="9" t="s">
        <v>98</v>
      </c>
      <c r="D28" s="7" t="s">
        <v>80</v>
      </c>
      <c r="E28" s="7" t="s">
        <v>81</v>
      </c>
      <c r="F28" s="7" t="str">
        <f t="shared" si="0"/>
        <v>Dress-Zara</v>
      </c>
      <c r="G28" s="10">
        <v>60</v>
      </c>
      <c r="H28" s="7">
        <v>30</v>
      </c>
      <c r="I28" s="7" t="s">
        <v>12</v>
      </c>
    </row>
    <row r="29" spans="1:9" x14ac:dyDescent="0.3">
      <c r="A29" s="7" t="s">
        <v>82</v>
      </c>
      <c r="B29" s="8">
        <v>46125</v>
      </c>
      <c r="C29" s="9" t="s">
        <v>98</v>
      </c>
      <c r="D29" s="7" t="s">
        <v>83</v>
      </c>
      <c r="E29" s="7" t="s">
        <v>84</v>
      </c>
      <c r="F29" s="7" t="str">
        <f t="shared" si="0"/>
        <v>Toaster-Hamilton</v>
      </c>
      <c r="G29" s="10">
        <v>40</v>
      </c>
      <c r="H29" s="7">
        <v>10</v>
      </c>
      <c r="I29" s="7" t="s">
        <v>16</v>
      </c>
    </row>
    <row r="30" spans="1:9" x14ac:dyDescent="0.3">
      <c r="A30" s="7" t="s">
        <v>85</v>
      </c>
      <c r="B30" s="8">
        <v>46166</v>
      </c>
      <c r="C30" s="9" t="s">
        <v>98</v>
      </c>
      <c r="D30" s="7" t="s">
        <v>70</v>
      </c>
      <c r="E30" s="7" t="s">
        <v>86</v>
      </c>
      <c r="F30" s="7" t="str">
        <f t="shared" si="0"/>
        <v>Fitness Tracker-Garmin</v>
      </c>
      <c r="G30" s="10">
        <v>130</v>
      </c>
      <c r="H30" s="7">
        <v>5</v>
      </c>
      <c r="I30" s="7" t="s">
        <v>8</v>
      </c>
    </row>
    <row r="31" spans="1:9" x14ac:dyDescent="0.3">
      <c r="A31" s="7" t="s">
        <v>87</v>
      </c>
      <c r="B31" s="8">
        <v>46358</v>
      </c>
      <c r="C31" s="9" t="s">
        <v>98</v>
      </c>
      <c r="D31" s="7" t="s">
        <v>88</v>
      </c>
      <c r="E31" s="7" t="s">
        <v>89</v>
      </c>
      <c r="F31" s="7" t="str">
        <f t="shared" si="0"/>
        <v>Jeans-Levi's</v>
      </c>
      <c r="G31" s="10">
        <v>50</v>
      </c>
      <c r="H31" s="7">
        <v>50</v>
      </c>
      <c r="I31" s="7" t="s">
        <v>12</v>
      </c>
    </row>
    <row r="32" spans="1:9" x14ac:dyDescent="0.3">
      <c r="A32" s="7" t="s">
        <v>90</v>
      </c>
      <c r="B32" s="8">
        <v>46212</v>
      </c>
      <c r="C32" s="7" t="s">
        <v>104</v>
      </c>
      <c r="D32" s="7" t="s">
        <v>91</v>
      </c>
      <c r="E32" s="7" t="s">
        <v>92</v>
      </c>
      <c r="F32" s="7" t="str">
        <f t="shared" si="0"/>
        <v>Watch-Casio</v>
      </c>
      <c r="G32" s="10">
        <v>100</v>
      </c>
      <c r="H32" s="7">
        <v>20</v>
      </c>
      <c r="I32" s="7" t="s">
        <v>52</v>
      </c>
    </row>
    <row r="33" spans="6:6" x14ac:dyDescent="0.3">
      <c r="F33" s="1"/>
    </row>
    <row r="34" spans="6:6" x14ac:dyDescent="0.3">
      <c r="F34" s="1"/>
    </row>
    <row r="35" spans="6:6" x14ac:dyDescent="0.3">
      <c r="F35" s="1"/>
    </row>
  </sheetData>
  <conditionalFormatting sqref="G1:G6 G8:G104857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{BBEA2E10-62CA-432E-9ED9-2E227369613F}</x14:id>
        </ext>
      </extLst>
    </cfRule>
  </conditionalFormatting>
  <conditionalFormatting sqref="G1:G104857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{749BB9C5-4B6C-4503-AF21-78DE04185452}</x14:id>
        </ext>
      </extLst>
    </cfRule>
  </conditionalFormatting>
  <conditionalFormatting sqref="I1:I1048576">
    <cfRule type="containsText" dxfId="21" priority="18" operator="containsText" text="Electronics">
      <formula>NOT(ISERROR(SEARCH("Electronics",I1)))</formula>
    </cfRule>
    <cfRule type="containsText" priority="19" operator="containsText" text="Electronics">
      <formula>NOT(ISERROR(SEARCH("Electronics",I1)))</formula>
    </cfRule>
  </conditionalFormatting>
  <conditionalFormatting sqref="A2:I32">
    <cfRule type="expression" dxfId="19" priority="16">
      <formula>$I$5</formula>
    </cfRule>
  </conditionalFormatting>
  <conditionalFormatting sqref="A1:I32">
    <cfRule type="expression" dxfId="15" priority="14">
      <formula>12="Electronics"</formula>
    </cfRule>
  </conditionalFormatting>
  <conditionalFormatting sqref="A2:I2">
    <cfRule type="expression" dxfId="12" priority="13">
      <formula>SUM($A$2:$I$2)</formula>
    </cfRule>
  </conditionalFormatting>
  <conditionalFormatting sqref="A5:I5">
    <cfRule type="expression" dxfId="11" priority="12">
      <formula>SUM($A$5:$I$5)</formula>
    </cfRule>
  </conditionalFormatting>
  <conditionalFormatting sqref="A7:I7">
    <cfRule type="expression" dxfId="10" priority="11">
      <formula>SUM($A$7:$I$7)</formula>
    </cfRule>
  </conditionalFormatting>
  <conditionalFormatting sqref="A10:I10">
    <cfRule type="expression" dxfId="9" priority="10">
      <formula>SUM($A$10:$I$10)</formula>
    </cfRule>
  </conditionalFormatting>
  <conditionalFormatting sqref="A12:I12">
    <cfRule type="expression" dxfId="8" priority="9">
      <formula>SUM($A$12:$I$12)</formula>
    </cfRule>
  </conditionalFormatting>
  <conditionalFormatting sqref="A15:I15">
    <cfRule type="expression" dxfId="7" priority="8">
      <formula>SUM($A$15:$I$15)</formula>
    </cfRule>
  </conditionalFormatting>
  <conditionalFormatting sqref="A18:I18">
    <cfRule type="expression" dxfId="6" priority="7">
      <formula>SUM($A$18:$I$18)</formula>
    </cfRule>
  </conditionalFormatting>
  <conditionalFormatting sqref="A16:I16">
    <cfRule type="expression" dxfId="5" priority="6">
      <formula>SUM($A$16:$I$16)</formula>
    </cfRule>
  </conditionalFormatting>
  <conditionalFormatting sqref="A19:I19">
    <cfRule type="expression" dxfId="4" priority="5">
      <formula>SUM($A$19:$I$19)</formula>
    </cfRule>
  </conditionalFormatting>
  <conditionalFormatting sqref="A22:I22">
    <cfRule type="expression" dxfId="3" priority="4">
      <formula>SUM($A$22:$I$22)</formula>
    </cfRule>
  </conditionalFormatting>
  <conditionalFormatting sqref="A24:I24">
    <cfRule type="expression" dxfId="2" priority="3">
      <formula>SUM($A$24:$I$24)</formula>
    </cfRule>
  </conditionalFormatting>
  <conditionalFormatting sqref="A25:I25">
    <cfRule type="expression" dxfId="1" priority="2">
      <formula>SUM($A$25:$I$25)</formula>
    </cfRule>
  </conditionalFormatting>
  <conditionalFormatting sqref="A30:I30">
    <cfRule type="expression" dxfId="0" priority="1">
      <formula>SUM($A$30:$I$30)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EA2E10-62CA-432E-9ED9-2E22736961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G1:G6 G8:G1048576</xm:sqref>
        </x14:conditionalFormatting>
        <x14:conditionalFormatting xmlns:xm="http://schemas.microsoft.com/office/excel/2006/main">
          <x14:cfRule type="dataBar" id="{749BB9C5-4B6C-4503-AF21-78DE04185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G</dc:creator>
  <cp:lastModifiedBy>Aswathi G</cp:lastModifiedBy>
  <dcterms:created xsi:type="dcterms:W3CDTF">2026-09-23T13:21:52Z</dcterms:created>
  <dcterms:modified xsi:type="dcterms:W3CDTF">2026-09-24T14:29:02Z</dcterms:modified>
</cp:coreProperties>
</file>